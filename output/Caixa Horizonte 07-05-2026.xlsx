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_10\Documents\tabelas\automacao_caixa\output\"/>
    </mc:Choice>
  </mc:AlternateContent>
  <xr:revisionPtr revIDLastSave="0" documentId="13_ncr:1_{87A5AD5C-18C1-49FF-B38C-355A8EDC059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ixa" sheetId="1" r:id="rId1"/>
  </sheets>
  <calcPr calcId="181029"/>
</workbook>
</file>

<file path=xl/calcChain.xml><?xml version="1.0" encoding="utf-8"?>
<calcChain xmlns="http://schemas.openxmlformats.org/spreadsheetml/2006/main">
  <c r="D36" i="1" l="1"/>
  <c r="B35" i="1" s="1"/>
  <c r="G15" i="1"/>
  <c r="G14" i="1"/>
  <c r="D8" i="1"/>
  <c r="B30" i="1" s="1"/>
  <c r="B33" i="1" s="1"/>
  <c r="B38" i="1" s="1"/>
  <c r="C8" i="1"/>
  <c r="G13" i="1" s="1"/>
  <c r="B8" i="1"/>
  <c r="G6" i="1"/>
  <c r="G7" i="1" l="1"/>
  <c r="G11" i="1" s="1"/>
  <c r="G17" i="1" s="1"/>
</calcChain>
</file>

<file path=xl/sharedStrings.xml><?xml version="1.0" encoding="utf-8"?>
<sst xmlns="http://schemas.openxmlformats.org/spreadsheetml/2006/main" count="63" uniqueCount="56">
  <si>
    <t xml:space="preserve">MOVIMENTO CAIXA - HORIZONTE </t>
  </si>
  <si>
    <t>VENDAS</t>
  </si>
  <si>
    <t>DATA: 07-05-2026</t>
  </si>
  <si>
    <t>À VISTA</t>
  </si>
  <si>
    <t>CARTÃO</t>
  </si>
  <si>
    <t>À PRAZO</t>
  </si>
  <si>
    <t>RESUMO CAIXA</t>
  </si>
  <si>
    <t>A</t>
  </si>
  <si>
    <t>Valor R$</t>
  </si>
  <si>
    <t>B</t>
  </si>
  <si>
    <t>Saldo Anterior</t>
  </si>
  <si>
    <t>C</t>
  </si>
  <si>
    <t>Venda à Vista</t>
  </si>
  <si>
    <t>Vendas Cartão</t>
  </si>
  <si>
    <t>TOTAIS</t>
  </si>
  <si>
    <t>Recebimentos</t>
  </si>
  <si>
    <t xml:space="preserve"> REMESSA PARA MATRIZ/PAGAMENTO</t>
  </si>
  <si>
    <t>HISTÓRICO</t>
  </si>
  <si>
    <t>VALOR R$</t>
  </si>
  <si>
    <t>Pix - Welvis Presley</t>
  </si>
  <si>
    <t>SUBTOTAL</t>
  </si>
  <si>
    <t>Pix - Avenida Castelo Branco</t>
  </si>
  <si>
    <t>Pagamentos</t>
  </si>
  <si>
    <t>Pix - Pedro Alvares Cabral</t>
  </si>
  <si>
    <t>Cartão</t>
  </si>
  <si>
    <t>Pix - Luis Inacio De Brasilia</t>
  </si>
  <si>
    <t>Deposito</t>
  </si>
  <si>
    <t>Pix - Play Store</t>
  </si>
  <si>
    <t>Transf. E Pix(S)</t>
  </si>
  <si>
    <t>Pix - God Of War</t>
  </si>
  <si>
    <t>Pix - Caneta Azul</t>
  </si>
  <si>
    <t xml:space="preserve">SALDO ATUAL </t>
  </si>
  <si>
    <t>Pix - Tiringa Humorista</t>
  </si>
  <si>
    <t>Pix - Pagina Da Choquei</t>
  </si>
  <si>
    <t>Pix - Mc Ryan Sp</t>
  </si>
  <si>
    <t>RECEBIMENTOS MERCADORIAS</t>
  </si>
  <si>
    <t>Pix - Mercado Pago</t>
  </si>
  <si>
    <t>Data</t>
  </si>
  <si>
    <t>Nota</t>
  </si>
  <si>
    <t>NF</t>
  </si>
  <si>
    <t>Valor</t>
  </si>
  <si>
    <t>Pix - Organização Python</t>
  </si>
  <si>
    <t>VENDAS À PRAZO</t>
  </si>
  <si>
    <t>RECEBIMENTO FIADO</t>
  </si>
  <si>
    <t xml:space="preserve">Cliente </t>
  </si>
  <si>
    <t>Vendas (A)</t>
  </si>
  <si>
    <t>Vendas (B)</t>
  </si>
  <si>
    <t>TOTAL</t>
  </si>
  <si>
    <t>Vendas (C)</t>
  </si>
  <si>
    <t>DEVOLUÇÃO DE MERCADORIAS</t>
  </si>
  <si>
    <t>Ração</t>
  </si>
  <si>
    <t>Outros</t>
  </si>
  <si>
    <t>RECEBIMENTO</t>
  </si>
  <si>
    <t>Estoque - Ração</t>
  </si>
  <si>
    <t>Estoque - Outros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</si>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</sst>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u val="singleAccounting"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 val="singleAccounting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164" fontId="3" fillId="0" borderId="0" xfId="0" applyNumberFormat="1" applyFont="1"/>
    <xf numFmtId="16" fontId="3" fillId="0" borderId="0" xfId="0" applyNumberFormat="1" applyFont="1"/>
    <xf numFmtId="0" fontId="4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24" xfId="0" applyBorder="1"/>
    <xf numFmtId="0" fontId="0" fillId="0" borderId="0" xfId="0" applyAlignment="1">
      <alignment horizontal="center" vertical="center"/>
    </xf>
    <xf numFmtId="0" fontId="4" fillId="0" borderId="31" xfId="0" applyFont="1" applyBorder="1"/>
    <xf numFmtId="16" fontId="3" fillId="0" borderId="31" xfId="0" applyNumberFormat="1" applyFont="1" applyBorder="1"/>
    <xf numFmtId="164" fontId="3" fillId="0" borderId="31" xfId="0" applyNumberFormat="1" applyFont="1" applyBorder="1"/>
    <xf numFmtId="0" fontId="0" fillId="0" borderId="31" xfId="0" applyBorder="1"/>
    <xf numFmtId="0" fontId="7" fillId="0" borderId="6" xfId="0" applyFont="1" applyBorder="1"/>
    <xf numFmtId="0" fontId="7" fillId="0" borderId="16" xfId="0" applyFont="1" applyBorder="1" applyAlignment="1">
      <alignment horizontal="center" vertical="center"/>
    </xf>
    <xf numFmtId="16" fontId="7" fillId="0" borderId="12" xfId="0" applyNumberFormat="1" applyFont="1" applyBorder="1"/>
    <xf numFmtId="0" fontId="7" fillId="0" borderId="3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4" fontId="5" fillId="0" borderId="13" xfId="0" applyNumberFormat="1" applyFont="1" applyBorder="1"/>
    <xf numFmtId="164" fontId="5" fillId="0" borderId="15" xfId="0" applyNumberFormat="1" applyFont="1" applyBorder="1"/>
    <xf numFmtId="16" fontId="5" fillId="0" borderId="12" xfId="0" applyNumberFormat="1" applyFont="1" applyBorder="1"/>
    <xf numFmtId="0" fontId="7" fillId="0" borderId="32" xfId="0" applyFont="1" applyBorder="1" applyAlignment="1">
      <alignment horizontal="center"/>
    </xf>
    <xf numFmtId="16" fontId="7" fillId="0" borderId="30" xfId="0" applyNumberFormat="1" applyFont="1" applyBorder="1"/>
    <xf numFmtId="16" fontId="7" fillId="0" borderId="23" xfId="0" applyNumberFormat="1" applyFont="1" applyBorder="1"/>
    <xf numFmtId="44" fontId="5" fillId="0" borderId="39" xfId="0" applyNumberFormat="1" applyFont="1" applyBorder="1"/>
    <xf numFmtId="44" fontId="5" fillId="0" borderId="40" xfId="0" applyNumberFormat="1" applyFont="1" applyBorder="1"/>
    <xf numFmtId="44" fontId="5" fillId="0" borderId="41" xfId="0" applyNumberFormat="1" applyFont="1" applyBorder="1"/>
    <xf numFmtId="44" fontId="7" fillId="0" borderId="40" xfId="0" applyNumberFormat="1" applyFont="1" applyBorder="1"/>
    <xf numFmtId="44" fontId="7" fillId="0" borderId="42" xfId="0" applyNumberFormat="1" applyFont="1" applyBorder="1"/>
    <xf numFmtId="0" fontId="7" fillId="0" borderId="43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44" fontId="7" fillId="0" borderId="13" xfId="0" applyNumberFormat="1" applyFont="1" applyBorder="1"/>
    <xf numFmtId="44" fontId="7" fillId="0" borderId="44" xfId="0" applyNumberFormat="1" applyFont="1" applyBorder="1"/>
    <xf numFmtId="16" fontId="5" fillId="0" borderId="13" xfId="0" applyNumberFormat="1" applyFont="1" applyBorder="1"/>
    <xf numFmtId="0" fontId="8" fillId="0" borderId="38" xfId="0" applyFont="1" applyBorder="1" applyAlignment="1">
      <alignment horizontal="center" vertical="center"/>
    </xf>
    <xf numFmtId="0" fontId="5" fillId="0" borderId="12" xfId="0" applyFont="1" applyBorder="1"/>
    <xf numFmtId="0" fontId="7" fillId="0" borderId="14" xfId="0" applyFont="1" applyBorder="1" applyAlignment="1">
      <alignment horizontal="right"/>
    </xf>
    <xf numFmtId="164" fontId="5" fillId="0" borderId="44" xfId="0" applyNumberFormat="1" applyFont="1" applyBorder="1"/>
    <xf numFmtId="44" fontId="5" fillId="0" borderId="13" xfId="0" applyNumberFormat="1" applyFont="1" applyBorder="1" applyAlignment="1">
      <alignment horizontal="center" vertical="center"/>
    </xf>
    <xf numFmtId="14" fontId="5" fillId="0" borderId="12" xfId="0" applyNumberFormat="1" applyFont="1" applyBorder="1"/>
    <xf numFmtId="164" fontId="7" fillId="0" borderId="15" xfId="0" applyNumberFormat="1" applyFont="1" applyBorder="1" applyAlignment="1">
      <alignment horizontal="center" vertical="center"/>
    </xf>
    <xf numFmtId="16" fontId="7" fillId="0" borderId="29" xfId="0" applyNumberFormat="1" applyFont="1" applyBorder="1" applyAlignment="1">
      <alignment horizontal="left"/>
    </xf>
    <xf numFmtId="16" fontId="5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8" xfId="0" applyFont="1" applyBorder="1" applyAlignment="1">
      <alignment horizontal="center"/>
    </xf>
    <xf numFmtId="0" fontId="1" fillId="0" borderId="24" xfId="0" applyFont="1" applyBorder="1"/>
    <xf numFmtId="0" fontId="5" fillId="0" borderId="1" xfId="0" applyFont="1" applyBorder="1" applyAlignment="1">
      <alignment horizontal="center" vertical="center"/>
    </xf>
    <xf numFmtId="0" fontId="10" fillId="0" borderId="0" xfId="0" applyFont="1"/>
    <xf numFmtId="44" fontId="5" fillId="0" borderId="11" xfId="0" applyNumberFormat="1" applyFont="1" applyBorder="1"/>
    <xf numFmtId="16" fontId="7" fillId="0" borderId="9" xfId="0" applyNumberFormat="1" applyFont="1" applyBorder="1"/>
    <xf numFmtId="164" fontId="7" fillId="0" borderId="26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" fontId="5" fillId="0" borderId="46" xfId="0" applyNumberFormat="1" applyFont="1" applyBorder="1" applyAlignment="1">
      <alignment horizontal="left" vertical="center"/>
    </xf>
    <xf numFmtId="16" fontId="5" fillId="0" borderId="9" xfId="0" applyNumberFormat="1" applyFont="1" applyBorder="1" applyAlignment="1">
      <alignment horizontal="left" vertical="center"/>
    </xf>
    <xf numFmtId="16" fontId="5" fillId="0" borderId="12" xfId="0" applyNumberFormat="1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" fontId="5" fillId="0" borderId="38" xfId="0" applyNumberFormat="1" applyFont="1" applyBorder="1" applyAlignment="1">
      <alignment horizontal="left" vertical="center"/>
    </xf>
    <xf numFmtId="16" fontId="5" fillId="0" borderId="37" xfId="0" applyNumberFormat="1" applyFont="1" applyBorder="1" applyAlignment="1">
      <alignment horizontal="left" vertical="center"/>
    </xf>
    <xf numFmtId="44" fontId="5" fillId="0" borderId="19" xfId="0" applyNumberFormat="1" applyFont="1" applyBorder="1" applyAlignment="1">
      <alignment vertical="center"/>
    </xf>
    <xf numFmtId="44" fontId="5" fillId="0" borderId="4" xfId="0" applyNumberFormat="1" applyFont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4" fontId="5" fillId="0" borderId="35" xfId="0" applyNumberFormat="1" applyFont="1" applyBorder="1" applyAlignment="1">
      <alignment vertical="center"/>
    </xf>
    <xf numFmtId="44" fontId="5" fillId="0" borderId="3" xfId="0" applyNumberFormat="1" applyFont="1" applyBorder="1" applyAlignment="1">
      <alignment vertical="center"/>
    </xf>
    <xf numFmtId="44" fontId="12" fillId="0" borderId="3" xfId="0" applyNumberFormat="1" applyFont="1" applyBorder="1" applyAlignment="1">
      <alignment vertical="center"/>
    </xf>
    <xf numFmtId="44" fontId="5" fillId="0" borderId="13" xfId="0" applyNumberFormat="1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4" fontId="9" fillId="0" borderId="1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7" fillId="0" borderId="13" xfId="0" applyNumberFormat="1" applyFont="1" applyBorder="1"/>
    <xf numFmtId="0" fontId="7" fillId="0" borderId="37" xfId="0" applyFont="1" applyBorder="1" applyAlignment="1">
      <alignment horizontal="left"/>
    </xf>
    <xf numFmtId="0" fontId="0" fillId="0" borderId="47" xfId="0" applyBorder="1"/>
    <xf numFmtId="44" fontId="5" fillId="0" borderId="13" xfId="0" applyNumberFormat="1" applyFont="1" applyBorder="1" applyAlignment="1">
      <alignment horizontal="center"/>
    </xf>
    <xf numFmtId="0" fontId="0" fillId="0" borderId="25" xfId="0" applyBorder="1"/>
    <xf numFmtId="0" fontId="7" fillId="0" borderId="9" xfId="0" applyFont="1" applyBorder="1" applyAlignment="1">
      <alignment horizontal="center"/>
    </xf>
    <xf numFmtId="0" fontId="0" fillId="0" borderId="19" xfId="0" applyBorder="1"/>
    <xf numFmtId="16" fontId="7" fillId="0" borderId="14" xfId="0" applyNumberFormat="1" applyFont="1" applyBorder="1" applyAlignment="1">
      <alignment horizontal="right"/>
    </xf>
    <xf numFmtId="0" fontId="0" fillId="0" borderId="36" xfId="0" applyBorder="1"/>
    <xf numFmtId="0" fontId="0" fillId="0" borderId="21" xfId="0" applyBorder="1"/>
    <xf numFmtId="16" fontId="7" fillId="0" borderId="9" xfId="0" applyNumberFormat="1" applyFont="1" applyBorder="1" applyAlignment="1">
      <alignment horizontal="left"/>
    </xf>
    <xf numFmtId="164" fontId="5" fillId="0" borderId="15" xfId="0" applyNumberFormat="1" applyFont="1" applyBorder="1" applyAlignment="1">
      <alignment horizontal="center"/>
    </xf>
    <xf numFmtId="0" fontId="0" fillId="0" borderId="22" xfId="0" applyBorder="1"/>
    <xf numFmtId="0" fontId="6" fillId="0" borderId="34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7" fillId="0" borderId="12" xfId="0" applyFont="1" applyBorder="1" applyAlignment="1">
      <alignment horizontal="left"/>
    </xf>
    <xf numFmtId="0" fontId="0" fillId="0" borderId="4" xfId="0" applyBorder="1"/>
    <xf numFmtId="0" fontId="7" fillId="0" borderId="28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5" fillId="0" borderId="1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6" fillId="0" borderId="7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164" fontId="5" fillId="0" borderId="13" xfId="0" applyNumberFormat="1" applyFont="1" applyBorder="1" applyAlignment="1">
      <alignment horizontal="right"/>
    </xf>
    <xf numFmtId="0" fontId="7" fillId="0" borderId="38" xfId="0" applyFont="1" applyBorder="1" applyAlignment="1">
      <alignment horizontal="left"/>
    </xf>
    <xf numFmtId="0" fontId="0" fillId="0" borderId="5" xfId="0" applyBorder="1"/>
    <xf numFmtId="164" fontId="7" fillId="0" borderId="49" xfId="0" applyNumberFormat="1" applyFont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0" fillId="0" borderId="20" xfId="0" applyBorder="1"/>
    <xf numFmtId="164" fontId="5" fillId="0" borderId="44" xfId="0" applyNumberFormat="1" applyFont="1" applyBorder="1" applyAlignment="1">
      <alignment horizontal="center"/>
    </xf>
    <xf numFmtId="0" fontId="0" fillId="0" borderId="45" xfId="0" applyBorder="1"/>
    <xf numFmtId="0" fontId="7" fillId="0" borderId="12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164" fontId="5" fillId="0" borderId="48" xfId="0" applyNumberFormat="1" applyFont="1" applyBorder="1" applyAlignment="1">
      <alignment horizontal="right"/>
    </xf>
    <xf numFmtId="0" fontId="0" fillId="0" borderId="26" xfId="0" applyBorder="1"/>
    <xf numFmtId="0" fontId="5" fillId="0" borderId="14" xfId="0" applyFont="1" applyBorder="1" applyAlignment="1">
      <alignment horizontal="center"/>
    </xf>
    <xf numFmtId="16" fontId="7" fillId="0" borderId="43" xfId="0" applyNumberFormat="1" applyFont="1" applyBorder="1" applyAlignment="1">
      <alignment horizontal="center"/>
    </xf>
    <xf numFmtId="16" fontId="7" fillId="0" borderId="34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164" fontId="5" fillId="0" borderId="25" xfId="0" applyNumberFormat="1" applyFont="1" applyBorder="1" applyAlignment="1">
      <alignment horizontal="center"/>
    </xf>
    <xf numFmtId="0" fontId="7" fillId="0" borderId="3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4"/>
  <sheetViews>
    <sheetView tabSelected="1" topLeftCell="A10" zoomScaleNormal="100" workbookViewId="0">
      <selection activeCell="B30" sqref="B30"/>
    </sheetView>
  </sheetViews>
  <sheetFormatPr defaultColWidth="14.42578125" defaultRowHeight="15" customHeight="1" x14ac:dyDescent="0.25"/>
  <cols>
    <col min="1" max="1" width="26.5703125" customWidth="1"/>
    <col min="2" max="2" width="17.28515625" customWidth="1"/>
    <col min="3" max="3" width="25.7109375" customWidth="1"/>
    <col min="4" max="4" width="18.42578125" customWidth="1"/>
    <col min="5" max="5" width="9.42578125" customWidth="1"/>
    <col min="6" max="6" width="9.7109375" customWidth="1"/>
    <col min="7" max="7" width="13" customWidth="1"/>
    <col min="8" max="8" width="12.140625" customWidth="1"/>
    <col min="9" max="9" width="8" customWidth="1"/>
    <col min="10" max="28" width="8.7109375" customWidth="1"/>
  </cols>
  <sheetData>
    <row r="1" spans="1:9" ht="16.5" customHeight="1" thickBot="1" x14ac:dyDescent="0.3">
      <c r="A1" s="93" t="s">
        <v>0</v>
      </c>
      <c r="B1" s="94"/>
      <c r="C1" s="94"/>
      <c r="D1" s="94"/>
      <c r="E1" s="94"/>
      <c r="F1" s="94"/>
      <c r="G1" s="94"/>
      <c r="H1" s="95"/>
    </row>
    <row r="2" spans="1:9" ht="15.75" customHeight="1" thickBot="1" x14ac:dyDescent="0.3">
      <c r="A2" s="117" t="s">
        <v>1</v>
      </c>
      <c r="B2" s="94"/>
      <c r="C2" s="94"/>
      <c r="D2" s="95"/>
      <c r="E2" s="125" t="s">
        <v>2</v>
      </c>
      <c r="F2" s="94"/>
      <c r="G2" s="94"/>
      <c r="H2" s="95"/>
    </row>
    <row r="3" spans="1:9" ht="16.5" customHeight="1" thickBot="1" x14ac:dyDescent="0.3">
      <c r="A3" s="13"/>
      <c r="B3" s="16" t="s">
        <v>3</v>
      </c>
      <c r="C3" s="16" t="s">
        <v>4</v>
      </c>
      <c r="D3" s="29" t="s">
        <v>5</v>
      </c>
      <c r="E3" s="93" t="s">
        <v>6</v>
      </c>
      <c r="F3" s="94"/>
      <c r="G3" s="94"/>
      <c r="H3" s="95"/>
      <c r="I3" s="7"/>
    </row>
    <row r="4" spans="1:9" ht="16.5" customHeight="1" thickBot="1" x14ac:dyDescent="0.3">
      <c r="A4" s="22" t="s">
        <v>7</v>
      </c>
      <c r="B4" s="24">
        <v>0</v>
      </c>
      <c r="C4" s="24">
        <v>0</v>
      </c>
      <c r="D4" s="24">
        <v>0</v>
      </c>
      <c r="E4" s="102"/>
      <c r="F4" s="103"/>
      <c r="G4" s="93" t="s">
        <v>8</v>
      </c>
      <c r="H4" s="95"/>
    </row>
    <row r="5" spans="1:9" x14ac:dyDescent="0.25">
      <c r="A5" s="23" t="s">
        <v>9</v>
      </c>
      <c r="B5" s="25"/>
      <c r="C5" s="25"/>
      <c r="D5" s="25"/>
      <c r="E5" s="90" t="s">
        <v>10</v>
      </c>
      <c r="F5" s="86"/>
      <c r="G5" s="118"/>
      <c r="H5" s="119"/>
      <c r="I5" s="7"/>
    </row>
    <row r="6" spans="1:9" x14ac:dyDescent="0.25">
      <c r="A6" s="23" t="s">
        <v>11</v>
      </c>
      <c r="B6" s="26"/>
      <c r="C6" s="26"/>
      <c r="D6" s="26"/>
      <c r="E6" s="96" t="s">
        <v>12</v>
      </c>
      <c r="F6" s="97"/>
      <c r="G6" s="106">
        <f>B8</f>
        <v>0</v>
      </c>
      <c r="H6" s="84"/>
      <c r="I6" s="7"/>
    </row>
    <row r="7" spans="1:9" x14ac:dyDescent="0.25">
      <c r="A7" s="23"/>
      <c r="B7" s="27"/>
      <c r="C7" s="27"/>
      <c r="D7" s="27"/>
      <c r="E7" s="96" t="s">
        <v>13</v>
      </c>
      <c r="F7" s="97"/>
      <c r="G7" s="106">
        <f>C8</f>
        <v>0</v>
      </c>
      <c r="H7" s="84"/>
      <c r="I7" s="7"/>
    </row>
    <row r="8" spans="1:9" ht="15.75" customHeight="1" thickBot="1" x14ac:dyDescent="0.3">
      <c r="A8" s="42" t="s">
        <v>14</v>
      </c>
      <c r="B8" s="28">
        <f>SUM(B4:B6)</f>
        <v>0</v>
      </c>
      <c r="C8" s="28">
        <f>SUM(C4:C6)</f>
        <v>0</v>
      </c>
      <c r="D8" s="28">
        <f>SUM(D4:D6)</f>
        <v>0</v>
      </c>
      <c r="E8" s="81" t="s">
        <v>15</v>
      </c>
      <c r="F8" s="82"/>
      <c r="G8" s="83"/>
      <c r="H8" s="84"/>
      <c r="I8" s="7"/>
    </row>
    <row r="9" spans="1:9" ht="16.5" customHeight="1" thickBot="1" x14ac:dyDescent="0.3">
      <c r="A9" s="104" t="s">
        <v>16</v>
      </c>
      <c r="B9" s="94"/>
      <c r="C9" s="94"/>
      <c r="D9" s="103"/>
      <c r="E9" s="115"/>
      <c r="F9" s="97"/>
      <c r="G9" s="124"/>
      <c r="H9" s="84"/>
      <c r="I9" s="7"/>
    </row>
    <row r="10" spans="1:9" ht="15.75" customHeight="1" thickBot="1" x14ac:dyDescent="0.3">
      <c r="A10" s="16" t="s">
        <v>17</v>
      </c>
      <c r="B10" s="17" t="s">
        <v>18</v>
      </c>
      <c r="C10" s="16" t="s">
        <v>17</v>
      </c>
      <c r="D10" s="14" t="s">
        <v>18</v>
      </c>
      <c r="E10" s="107"/>
      <c r="F10" s="108"/>
      <c r="G10" s="110"/>
      <c r="H10" s="84"/>
      <c r="I10" s="7"/>
    </row>
    <row r="11" spans="1:9" x14ac:dyDescent="0.25">
      <c r="A11" s="62" t="s">
        <v>19</v>
      </c>
      <c r="B11" s="67">
        <v>96</v>
      </c>
      <c r="C11" s="76"/>
      <c r="D11" s="70"/>
      <c r="E11" s="107" t="s">
        <v>20</v>
      </c>
      <c r="F11" s="108"/>
      <c r="G11" s="83">
        <f>SUM(G8,G7,G6,G5,)</f>
        <v>0</v>
      </c>
      <c r="H11" s="84"/>
      <c r="I11" s="7"/>
    </row>
    <row r="12" spans="1:9" x14ac:dyDescent="0.25">
      <c r="A12" s="63" t="s">
        <v>21</v>
      </c>
      <c r="B12" s="68">
        <v>168</v>
      </c>
      <c r="C12" s="76"/>
      <c r="D12" s="71"/>
      <c r="E12" s="81" t="s">
        <v>22</v>
      </c>
      <c r="F12" s="82"/>
      <c r="G12" s="83">
        <v>0</v>
      </c>
      <c r="H12" s="84"/>
    </row>
    <row r="13" spans="1:9" x14ac:dyDescent="0.25">
      <c r="A13" s="63" t="s">
        <v>23</v>
      </c>
      <c r="B13" s="68">
        <v>143</v>
      </c>
      <c r="C13" s="77"/>
      <c r="D13" s="71"/>
      <c r="E13" s="81" t="s">
        <v>24</v>
      </c>
      <c r="F13" s="82"/>
      <c r="G13" s="83">
        <f>C8</f>
        <v>0</v>
      </c>
      <c r="H13" s="84"/>
      <c r="I13" s="7"/>
    </row>
    <row r="14" spans="1:9" x14ac:dyDescent="0.25">
      <c r="A14" s="63" t="s">
        <v>25</v>
      </c>
      <c r="B14" s="68">
        <v>183</v>
      </c>
      <c r="C14" s="77"/>
      <c r="D14" s="71"/>
      <c r="E14" s="81" t="s">
        <v>26</v>
      </c>
      <c r="F14" s="82"/>
      <c r="G14" s="83">
        <f>IFERROR(INDEX($D$11:$D$24,MATCH("*Deposito*",$C$11:$C$24,0)),0)</f>
        <v>0</v>
      </c>
      <c r="H14" s="84"/>
    </row>
    <row r="15" spans="1:9" ht="13.5" customHeight="1" x14ac:dyDescent="0.25">
      <c r="A15" s="63" t="s">
        <v>27</v>
      </c>
      <c r="B15" s="68">
        <v>88</v>
      </c>
      <c r="C15" s="77"/>
      <c r="D15" s="71"/>
      <c r="E15" s="81" t="s">
        <v>28</v>
      </c>
      <c r="F15" s="82"/>
      <c r="G15" s="83">
        <f>SUM(B11:B22)</f>
        <v>2811</v>
      </c>
      <c r="H15" s="84"/>
      <c r="I15" s="7"/>
    </row>
    <row r="16" spans="1:9" ht="15.75" customHeight="1" x14ac:dyDescent="0.25">
      <c r="A16" s="63" t="s">
        <v>29</v>
      </c>
      <c r="B16" s="68">
        <v>358</v>
      </c>
      <c r="C16" s="77"/>
      <c r="D16" s="71"/>
      <c r="E16" s="81"/>
      <c r="F16" s="82"/>
      <c r="G16" s="110"/>
      <c r="H16" s="84"/>
    </row>
    <row r="17" spans="1:9" ht="15.75" customHeight="1" x14ac:dyDescent="0.25">
      <c r="A17" s="63" t="s">
        <v>30</v>
      </c>
      <c r="B17" s="68">
        <v>257</v>
      </c>
      <c r="C17" s="77"/>
      <c r="D17" s="71"/>
      <c r="E17" s="96" t="s">
        <v>31</v>
      </c>
      <c r="F17" s="97"/>
      <c r="G17" s="83">
        <f>SUM(G11-G12-G13-G14-G15-G16)</f>
        <v>-2811</v>
      </c>
      <c r="H17" s="84"/>
    </row>
    <row r="18" spans="1:9" ht="15.75" customHeight="1" x14ac:dyDescent="0.25">
      <c r="A18" s="63" t="s">
        <v>32</v>
      </c>
      <c r="B18" s="68">
        <v>102</v>
      </c>
      <c r="C18" s="77"/>
      <c r="D18" s="71"/>
      <c r="E18" s="101"/>
      <c r="F18" s="97"/>
      <c r="G18" s="113"/>
      <c r="H18" s="114"/>
      <c r="I18" s="8"/>
    </row>
    <row r="19" spans="1:9" ht="15.75" customHeight="1" thickBot="1" x14ac:dyDescent="0.3">
      <c r="A19" s="63" t="s">
        <v>33</v>
      </c>
      <c r="B19" s="68">
        <v>153</v>
      </c>
      <c r="C19" s="78"/>
      <c r="D19" s="71"/>
      <c r="E19" s="101"/>
      <c r="F19" s="97"/>
      <c r="G19" s="110"/>
      <c r="H19" s="84"/>
      <c r="I19" s="8"/>
    </row>
    <row r="20" spans="1:9" ht="15.75" customHeight="1" thickBot="1" x14ac:dyDescent="0.3">
      <c r="A20" s="63" t="s">
        <v>34</v>
      </c>
      <c r="B20" s="68">
        <v>372</v>
      </c>
      <c r="C20" s="79"/>
      <c r="D20" s="72"/>
      <c r="E20" s="117" t="s">
        <v>35</v>
      </c>
      <c r="F20" s="94"/>
      <c r="G20" s="94"/>
      <c r="H20" s="95"/>
      <c r="I20" s="8"/>
    </row>
    <row r="21" spans="1:9" ht="15.75" customHeight="1" thickBot="1" x14ac:dyDescent="0.3">
      <c r="A21" s="63" t="s">
        <v>36</v>
      </c>
      <c r="B21" s="68">
        <v>836</v>
      </c>
      <c r="C21" s="74"/>
      <c r="D21" s="73"/>
      <c r="E21" s="21" t="s">
        <v>37</v>
      </c>
      <c r="F21" s="30" t="s">
        <v>38</v>
      </c>
      <c r="G21" s="53" t="s">
        <v>39</v>
      </c>
      <c r="H21" s="31" t="s">
        <v>40</v>
      </c>
      <c r="I21" s="8"/>
    </row>
    <row r="22" spans="1:9" ht="15.75" customHeight="1" x14ac:dyDescent="0.25">
      <c r="A22" s="63" t="s">
        <v>41</v>
      </c>
      <c r="B22" s="68">
        <v>55</v>
      </c>
      <c r="C22" s="75"/>
      <c r="D22" s="71"/>
      <c r="E22" s="43"/>
      <c r="F22" s="44"/>
      <c r="G22" s="45"/>
      <c r="H22" s="46"/>
      <c r="I22" s="8"/>
    </row>
    <row r="23" spans="1:9" ht="15.75" customHeight="1" x14ac:dyDescent="0.25">
      <c r="A23" s="63"/>
      <c r="B23" s="68"/>
      <c r="C23" s="75"/>
      <c r="D23" s="71"/>
      <c r="E23" s="20"/>
      <c r="F23" s="47"/>
      <c r="G23" s="48"/>
      <c r="H23" s="49"/>
      <c r="I23" s="8"/>
    </row>
    <row r="24" spans="1:9" ht="15.75" customHeight="1" x14ac:dyDescent="0.25">
      <c r="A24" s="61"/>
      <c r="B24" s="69"/>
      <c r="C24" s="75"/>
      <c r="D24" s="71"/>
      <c r="E24" s="20"/>
      <c r="F24" s="47"/>
      <c r="G24" s="48"/>
      <c r="H24" s="49"/>
    </row>
    <row r="25" spans="1:9" ht="15.75" customHeight="1" x14ac:dyDescent="0.25">
      <c r="A25" s="64"/>
      <c r="B25" s="68"/>
      <c r="C25" s="75"/>
      <c r="D25" s="71"/>
      <c r="E25" s="20"/>
      <c r="F25" s="47"/>
      <c r="G25" s="48"/>
      <c r="H25" s="49"/>
    </row>
    <row r="26" spans="1:9" ht="15.75" customHeight="1" x14ac:dyDescent="0.25">
      <c r="A26" s="65"/>
      <c r="B26" s="68"/>
      <c r="C26" s="75"/>
      <c r="D26" s="71"/>
      <c r="E26" s="20"/>
      <c r="F26" s="47"/>
      <c r="G26" s="55"/>
      <c r="H26" s="49"/>
    </row>
    <row r="27" spans="1:9" ht="15.75" customHeight="1" thickBot="1" x14ac:dyDescent="0.3">
      <c r="A27" s="66"/>
      <c r="B27" s="68"/>
      <c r="C27" s="75"/>
      <c r="D27" s="71"/>
      <c r="E27" s="40"/>
      <c r="F27" s="50"/>
      <c r="G27" s="52"/>
      <c r="H27" s="49"/>
    </row>
    <row r="28" spans="1:9" ht="15.75" customHeight="1" thickBot="1" x14ac:dyDescent="0.3">
      <c r="A28" s="121" t="s">
        <v>42</v>
      </c>
      <c r="B28" s="119"/>
      <c r="C28" s="122" t="s">
        <v>43</v>
      </c>
      <c r="D28" s="95"/>
      <c r="E28" s="40"/>
      <c r="F28" s="50"/>
      <c r="G28" s="52"/>
      <c r="H28" s="39"/>
    </row>
    <row r="29" spans="1:9" ht="15.75" customHeight="1" x14ac:dyDescent="0.25">
      <c r="A29" s="58" t="s">
        <v>10</v>
      </c>
      <c r="B29" s="57">
        <v>0</v>
      </c>
      <c r="C29" s="60" t="s">
        <v>44</v>
      </c>
      <c r="D29" s="59" t="s">
        <v>40</v>
      </c>
      <c r="E29" s="40"/>
      <c r="F29" s="52"/>
      <c r="G29" s="51"/>
      <c r="H29" s="39"/>
    </row>
    <row r="30" spans="1:9" ht="15.75" customHeight="1" x14ac:dyDescent="0.25">
      <c r="A30" s="15" t="s">
        <v>45</v>
      </c>
      <c r="B30" s="32">
        <f>D8</f>
        <v>0</v>
      </c>
      <c r="C30" s="35"/>
      <c r="D30" s="18">
        <v>0</v>
      </c>
      <c r="E30" s="40"/>
      <c r="F30" s="52"/>
      <c r="G30" s="51"/>
      <c r="H30" s="39"/>
    </row>
    <row r="31" spans="1:9" ht="15.75" customHeight="1" thickBot="1" x14ac:dyDescent="0.3">
      <c r="A31" s="15" t="s">
        <v>46</v>
      </c>
      <c r="B31" s="32"/>
      <c r="C31" s="36"/>
      <c r="D31" s="18"/>
      <c r="E31" s="87" t="s">
        <v>47</v>
      </c>
      <c r="F31" s="88"/>
      <c r="G31" s="89"/>
      <c r="H31" s="41"/>
    </row>
    <row r="32" spans="1:9" ht="15.75" customHeight="1" thickBot="1" x14ac:dyDescent="0.3">
      <c r="A32" s="15" t="s">
        <v>48</v>
      </c>
      <c r="B32" s="32"/>
      <c r="C32" s="36"/>
      <c r="D32" s="18"/>
      <c r="E32" s="98" t="s">
        <v>49</v>
      </c>
      <c r="F32" s="99"/>
      <c r="G32" s="99"/>
      <c r="H32" s="100"/>
      <c r="I32" s="54"/>
    </row>
    <row r="33" spans="1:9" ht="15.75" customHeight="1" x14ac:dyDescent="0.25">
      <c r="A33" s="15" t="s">
        <v>20</v>
      </c>
      <c r="B33" s="32">
        <f>SUM(B29:B32)</f>
        <v>0</v>
      </c>
      <c r="C33" s="36"/>
      <c r="D33" s="18"/>
      <c r="E33" s="85" t="s">
        <v>50</v>
      </c>
      <c r="F33" s="86"/>
      <c r="G33" s="116"/>
      <c r="H33" s="112"/>
      <c r="I33" s="7"/>
    </row>
    <row r="34" spans="1:9" ht="15.75" customHeight="1" x14ac:dyDescent="0.25">
      <c r="A34" s="15"/>
      <c r="B34" s="33"/>
      <c r="C34" s="36"/>
      <c r="D34" s="18"/>
      <c r="E34" s="115" t="s">
        <v>51</v>
      </c>
      <c r="F34" s="97"/>
      <c r="G34" s="110"/>
      <c r="H34" s="84"/>
      <c r="I34" s="7"/>
    </row>
    <row r="35" spans="1:9" ht="15.75" customHeight="1" x14ac:dyDescent="0.25">
      <c r="A35" s="15" t="s">
        <v>52</v>
      </c>
      <c r="B35" s="38">
        <f>D36</f>
        <v>0</v>
      </c>
      <c r="C35" s="36"/>
      <c r="D35" s="18"/>
      <c r="E35" s="101"/>
      <c r="F35" s="97"/>
      <c r="G35" s="110"/>
      <c r="H35" s="84"/>
      <c r="I35" s="7"/>
    </row>
    <row r="36" spans="1:9" ht="15.75" customHeight="1" thickBot="1" x14ac:dyDescent="0.3">
      <c r="A36" s="15"/>
      <c r="B36" s="18"/>
      <c r="C36" s="15" t="s">
        <v>47</v>
      </c>
      <c r="D36" s="80">
        <f>SUM(D30:D35)</f>
        <v>0</v>
      </c>
      <c r="E36" s="120"/>
      <c r="F36" s="89"/>
      <c r="G36" s="91"/>
      <c r="H36" s="92"/>
      <c r="I36" s="7"/>
    </row>
    <row r="37" spans="1:9" ht="15.75" customHeight="1" x14ac:dyDescent="0.25">
      <c r="A37" s="20"/>
      <c r="B37" s="34"/>
      <c r="C37" s="36"/>
      <c r="D37" s="18"/>
      <c r="E37" s="123" t="s">
        <v>53</v>
      </c>
      <c r="F37" s="86"/>
      <c r="G37" s="111"/>
      <c r="H37" s="112"/>
      <c r="I37" s="7"/>
    </row>
    <row r="38" spans="1:9" ht="15.75" customHeight="1" thickBot="1" x14ac:dyDescent="0.3">
      <c r="A38" s="15" t="s">
        <v>31</v>
      </c>
      <c r="B38" s="32">
        <f>(B33-B35)</f>
        <v>0</v>
      </c>
      <c r="C38" s="37"/>
      <c r="D38" s="19"/>
      <c r="E38" s="105" t="s">
        <v>54</v>
      </c>
      <c r="F38" s="89"/>
      <c r="G38" s="109"/>
      <c r="H38" s="100"/>
    </row>
    <row r="39" spans="1:9" ht="15.75" customHeight="1" x14ac:dyDescent="0.25">
      <c r="A39" s="10"/>
      <c r="B39" s="10"/>
      <c r="C39" s="9"/>
      <c r="D39" s="11"/>
      <c r="E39" s="12"/>
      <c r="G39" t="s">
        <v>55</v>
      </c>
    </row>
    <row r="40" spans="1:9" ht="15.75" customHeight="1" x14ac:dyDescent="0.25">
      <c r="A40" s="2"/>
      <c r="B40" s="2"/>
      <c r="C40" s="3"/>
      <c r="D40" s="1"/>
    </row>
    <row r="41" spans="1:9" ht="15.75" customHeight="1" x14ac:dyDescent="0.25">
      <c r="A41" s="2"/>
      <c r="B41" s="2"/>
      <c r="C41" s="4"/>
      <c r="D41" s="1"/>
    </row>
    <row r="42" spans="1:9" ht="15.75" customHeight="1" x14ac:dyDescent="0.25">
      <c r="A42" s="2"/>
      <c r="B42" s="2"/>
      <c r="C42" s="4"/>
      <c r="D42" s="5"/>
    </row>
    <row r="43" spans="1:9" ht="15.75" customHeight="1" x14ac:dyDescent="0.25">
      <c r="A43" s="2"/>
      <c r="B43" s="2"/>
      <c r="C43" s="4"/>
      <c r="D43" s="5"/>
    </row>
    <row r="44" spans="1:9" ht="15.75" customHeight="1" x14ac:dyDescent="0.25">
      <c r="A44" s="2"/>
      <c r="B44" s="2"/>
      <c r="C44" s="4"/>
      <c r="D44" s="5"/>
    </row>
    <row r="45" spans="1:9" ht="15.75" customHeight="1" x14ac:dyDescent="0.25">
      <c r="A45" s="4"/>
      <c r="B45" s="4"/>
      <c r="C45" s="6"/>
      <c r="D45" s="1"/>
      <c r="F45" s="56"/>
    </row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4">
    <mergeCell ref="A28:B28"/>
    <mergeCell ref="C28:D28"/>
    <mergeCell ref="E37:F37"/>
    <mergeCell ref="A2:D2"/>
    <mergeCell ref="G9:H9"/>
    <mergeCell ref="E18:F18"/>
    <mergeCell ref="E2:H2"/>
    <mergeCell ref="G5:H5"/>
    <mergeCell ref="G14:H14"/>
    <mergeCell ref="E36:F36"/>
    <mergeCell ref="G35:H35"/>
    <mergeCell ref="G4:H4"/>
    <mergeCell ref="E16:F16"/>
    <mergeCell ref="E7:F7"/>
    <mergeCell ref="G16:H16"/>
    <mergeCell ref="E38:F38"/>
    <mergeCell ref="G7:H7"/>
    <mergeCell ref="E10:F10"/>
    <mergeCell ref="E3:H3"/>
    <mergeCell ref="G38:H38"/>
    <mergeCell ref="G10:H10"/>
    <mergeCell ref="E19:F19"/>
    <mergeCell ref="G19:H19"/>
    <mergeCell ref="G37:H37"/>
    <mergeCell ref="E13:F13"/>
    <mergeCell ref="G6:H6"/>
    <mergeCell ref="G13:H13"/>
    <mergeCell ref="G18:H18"/>
    <mergeCell ref="E9:F9"/>
    <mergeCell ref="E34:F34"/>
    <mergeCell ref="G34:H34"/>
    <mergeCell ref="E5:F5"/>
    <mergeCell ref="G36:H36"/>
    <mergeCell ref="E14:F14"/>
    <mergeCell ref="A1:H1"/>
    <mergeCell ref="G8:H8"/>
    <mergeCell ref="E17:F17"/>
    <mergeCell ref="E32:H32"/>
    <mergeCell ref="E8:F8"/>
    <mergeCell ref="G17:H17"/>
    <mergeCell ref="E35:F35"/>
    <mergeCell ref="E4:F4"/>
    <mergeCell ref="A9:D9"/>
    <mergeCell ref="E6:F6"/>
    <mergeCell ref="E15:F15"/>
    <mergeCell ref="G15:H15"/>
    <mergeCell ref="G33:H33"/>
    <mergeCell ref="E12:F12"/>
    <mergeCell ref="G12:H12"/>
    <mergeCell ref="G11:H11"/>
    <mergeCell ref="E33:F33"/>
    <mergeCell ref="E31:G31"/>
    <mergeCell ref="E11:F11"/>
    <mergeCell ref="E20:H20"/>
  </mergeCells>
  <pageMargins left="0.55000000000000004" right="0.26" top="0.12" bottom="0.12" header="0.21" footer="0.12"/>
  <pageSetup paperSize="9" scale="9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PC_06</dc:creator>
  <cp:lastModifiedBy>Jose Igor</cp:lastModifiedBy>
  <cp:lastPrinted>2025-12-05T17:53:29Z</cp:lastPrinted>
  <dcterms:created xsi:type="dcterms:W3CDTF">2024-07-12T14:04:53Z</dcterms:created>
  <dcterms:modified xsi:type="dcterms:W3CDTF">2026-05-07T19:15:32Z</dcterms:modified>
</cp:coreProperties>
</file>